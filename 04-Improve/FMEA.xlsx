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FlightDelay2023\flight-delay-dmaic\04-Improve\"/>
    </mc:Choice>
  </mc:AlternateContent>
  <xr:revisionPtr revIDLastSave="0" documentId="8_{B0477767-651F-4F4E-A521-7DA8D081E8AE}" xr6:coauthVersionLast="47" xr6:coauthVersionMax="47" xr10:uidLastSave="{00000000-0000-0000-0000-000000000000}"/>
  <bookViews>
    <workbookView xWindow="-108" yWindow="-108" windowWidth="23256" windowHeight="13896" activeTab="1" xr2:uid="{2346CAC8-9694-4B4C-BCB4-03FD3303B530}"/>
  </bookViews>
  <sheets>
    <sheet name="FMEA" sheetId="1" r:id="rId1"/>
    <sheet name="Improve_Summary1_x0009_Metric_x0009_Curr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3" i="1"/>
</calcChain>
</file>

<file path=xl/sharedStrings.xml><?xml version="1.0" encoding="utf-8"?>
<sst xmlns="http://schemas.openxmlformats.org/spreadsheetml/2006/main" count="54" uniqueCount="54">
  <si>
    <t>#</t>
  </si>
  <si>
    <t>Failure Mode</t>
  </si>
  <si>
    <t>Effect</t>
  </si>
  <si>
    <t>Cause</t>
  </si>
  <si>
    <t>Severity (S)</t>
  </si>
  <si>
    <t>Occurrence (O)</t>
  </si>
  <si>
    <t>Detection (D)</t>
  </si>
  <si>
    <t>RPN</t>
  </si>
  <si>
    <t>Recommended Action</t>
  </si>
  <si>
    <t>Projected RPN</t>
  </si>
  <si>
    <t>Priority</t>
  </si>
  <si>
    <t>Late aircraft arrival</t>
  </si>
  <si>
    <t>Carrier maintenance delay</t>
  </si>
  <si>
    <t>NAS/ATC congestion</t>
  </si>
  <si>
    <t>Weather disruption</t>
  </si>
  <si>
    <t>Crew scheduling failure</t>
  </si>
  <si>
    <t>Cascading network delays</t>
  </si>
  <si>
    <t>Gate hold, missed connections</t>
  </si>
  <si>
    <t>Ground holds, rerouting</t>
  </si>
  <si>
    <t>Mass cancellations/delays</t>
  </si>
  <si>
    <t>Flight cancellation</t>
  </si>
  <si>
    <t>Tight turnaround, no recovery buffer</t>
  </si>
  <si>
    <t>Reactive maintenance culture</t>
  </si>
  <si>
    <t>Airport capacity limits</t>
  </si>
  <si>
    <t>No buffer for weather events</t>
  </si>
  <si>
    <t>Minimum rest violations</t>
  </si>
  <si>
    <t>Build 15-min buffer into turnaround schedules at high-delay airports</t>
  </si>
  <si>
    <t>Implement predictive maintenance program with pre-flight diagnostics</t>
  </si>
  <si>
    <t>Optimize gate assignments and taxi routing with ATC coordination</t>
  </si>
  <si>
    <t>Deploy real-time weather re-routing and pre-cancellation protocols</t>
  </si>
  <si>
    <t>Expand crew reserve pools at hub airports during peak season</t>
  </si>
  <si>
    <t>1 - Critical</t>
  </si>
  <si>
    <t>3 - High</t>
  </si>
  <si>
    <t>2 - High</t>
  </si>
  <si>
    <t>4 - Medium</t>
  </si>
  <si>
    <t>5 - Low</t>
  </si>
  <si>
    <t>FMEA — US Flight Delay Root Cause Analysis (2023)</t>
  </si>
  <si>
    <t>Metric</t>
  </si>
  <si>
    <t>Current State</t>
  </si>
  <si>
    <t>Projected State</t>
  </si>
  <si>
    <t>On-Time Rate</t>
  </si>
  <si>
    <t>Defect Rate</t>
  </si>
  <si>
    <t>DPMO</t>
  </si>
  <si>
    <t>Sigma Level</t>
  </si>
  <si>
    <t>2.3σ</t>
  </si>
  <si>
    <t>2.7σ</t>
  </si>
  <si>
    <t>Cpk</t>
  </si>
  <si>
    <t>Total RPN</t>
  </si>
  <si>
    <t>RPN Reduction</t>
  </si>
  <si>
    <t>—</t>
  </si>
  <si>
    <t>Target benchmark: Match best-in-class carriers (YX: 87.2%, DL: 84.0%)</t>
  </si>
  <si>
    <t>1. Build turnaround buffers at FLL, MCO, MIA → reduces Late Aircraft cascade</t>
  </si>
  <si>
    <t>2. Predictive maintenance program → reduces Carrier delays</t>
  </si>
  <si>
    <t>3. Peak season crew reserve pools → prevents cancellations Jun-Jul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</si>
</sst>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0" fontId="0" fillId="0" borderId="0" xfId="0" applyNumberFormat="1"/>
    <xf numFmtId="3" fontId="0" fillId="0" borderId="0" xfId="0" applyNumberFormat="1"/>
    <xf numFmtId="0" fontId="0" fillId="0" borderId="0" xfId="0"/>
  </cellXfs>
  <cellStyles count="1">
    <cellStyle name="Normal" xfId="0" builtinId="0"/>
  </cellStyles>
  <dxfs count="1"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1F8BA2-28CB-4B1B-AC52-BB1804E14F1A}" name="Table1" displayName="Table1" ref="A2:K7" totalsRowShown="0" headerRowDxfId="0">
  <autoFilter ref="A2:K7" xr:uid="{CE1F8BA2-28CB-4B1B-AC52-BB1804E14F1A}"/>
  <tableColumns count="11">
    <tableColumn id="1" xr3:uid="{84742547-ED77-470C-B383-FCA1B32DEF27}" name="#"/>
    <tableColumn id="2" xr3:uid="{88982137-F46A-43F4-BA7B-3E66BBDE45E1}" name="Failure Mode"/>
    <tableColumn id="3" xr3:uid="{A7C2F947-7B2D-4164-8F6D-DE71B4E672C3}" name="Effect"/>
    <tableColumn id="4" xr3:uid="{11F6401D-9045-44C6-9B13-F7C45C008853}" name="Cause"/>
    <tableColumn id="5" xr3:uid="{10D74EC6-8CBC-4C07-8D8F-015188D9F2A8}" name="Severity (S)"/>
    <tableColumn id="6" xr3:uid="{D280FF62-2B1C-4E66-8258-6ECE35CC8054}" name="Occurrence (O)"/>
    <tableColumn id="7" xr3:uid="{1059A666-B3E1-4EAE-8FF8-DFADEAA01C42}" name="Detection (D)"/>
    <tableColumn id="8" xr3:uid="{708FCDAD-5092-4156-B817-67539A8D1968}" name="RPN">
      <calculatedColumnFormula>E3*F3*G3</calculatedColumnFormula>
    </tableColumn>
    <tableColumn id="9" xr3:uid="{7F2AB215-596A-4BA1-A637-E2CC1E802CD7}" name="Recommended Action"/>
    <tableColumn id="10" xr3:uid="{5C042752-AFE5-454B-89FF-4EB364817D6E}" name="Projected RPN"/>
    <tableColumn id="11" xr3:uid="{2C2E4320-2635-43EB-A471-0619ADD8C11F}" name="Priorit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92727-4339-41F5-A46E-53139362D64A}">
  <dimension ref="A1:K7"/>
  <sheetViews>
    <sheetView zoomScale="130" zoomScaleNormal="130" workbookViewId="0">
      <selection sqref="A1:K1"/>
    </sheetView>
  </sheetViews>
  <sheetFormatPr defaultRowHeight="14.4" x14ac:dyDescent="0.3"/>
  <cols>
    <col min="1" max="1" width="3.21875" customWidth="1"/>
    <col min="2" max="2" width="23" bestFit="1" customWidth="1"/>
    <col min="3" max="3" width="26.77734375" bestFit="1" customWidth="1"/>
    <col min="4" max="4" width="30.5546875" bestFit="1" customWidth="1"/>
    <col min="5" max="5" width="15" bestFit="1" customWidth="1"/>
    <col min="6" max="6" width="18.21875" bestFit="1" customWidth="1"/>
    <col min="7" max="7" width="16.44140625" bestFit="1" customWidth="1"/>
    <col min="8" max="8" width="9" bestFit="1" customWidth="1"/>
    <col min="9" max="9" width="20.33203125" customWidth="1"/>
    <col min="10" max="10" width="17.5546875" bestFit="1" customWidth="1"/>
    <col min="11" max="11" width="11.5546875" bestFit="1" customWidth="1"/>
  </cols>
  <sheetData>
    <row r="1" spans="1:11" ht="18" x14ac:dyDescent="0.35">
      <c r="A1" s="6" t="s">
        <v>36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</row>
    <row r="3" spans="1:11" x14ac:dyDescent="0.3">
      <c r="A3">
        <v>1</v>
      </c>
      <c r="B3" t="s">
        <v>11</v>
      </c>
      <c r="C3" t="s">
        <v>16</v>
      </c>
      <c r="D3" t="s">
        <v>21</v>
      </c>
      <c r="E3">
        <v>9</v>
      </c>
      <c r="F3">
        <v>9</v>
      </c>
      <c r="G3">
        <v>5</v>
      </c>
      <c r="H3" s="2">
        <f>E3*F3*G3</f>
        <v>405</v>
      </c>
      <c r="I3" t="s">
        <v>26</v>
      </c>
      <c r="J3">
        <v>243</v>
      </c>
      <c r="K3" t="s">
        <v>31</v>
      </c>
    </row>
    <row r="4" spans="1:11" x14ac:dyDescent="0.3">
      <c r="A4">
        <v>2</v>
      </c>
      <c r="B4" t="s">
        <v>12</v>
      </c>
      <c r="C4" t="s">
        <v>17</v>
      </c>
      <c r="D4" t="s">
        <v>22</v>
      </c>
      <c r="E4">
        <v>8</v>
      </c>
      <c r="F4">
        <v>7</v>
      </c>
      <c r="G4">
        <v>4</v>
      </c>
      <c r="H4" s="3">
        <f t="shared" ref="H4:H7" si="0">E4*F4*G4</f>
        <v>224</v>
      </c>
      <c r="I4" t="s">
        <v>27</v>
      </c>
      <c r="J4">
        <v>128</v>
      </c>
      <c r="K4" t="s">
        <v>32</v>
      </c>
    </row>
    <row r="5" spans="1:11" x14ac:dyDescent="0.3">
      <c r="A5">
        <v>3</v>
      </c>
      <c r="B5" t="s">
        <v>13</v>
      </c>
      <c r="C5" s="1" t="s">
        <v>18</v>
      </c>
      <c r="D5" t="s">
        <v>23</v>
      </c>
      <c r="E5">
        <v>7</v>
      </c>
      <c r="F5">
        <v>6</v>
      </c>
      <c r="G5">
        <v>6</v>
      </c>
      <c r="H5" s="3">
        <f t="shared" si="0"/>
        <v>252</v>
      </c>
      <c r="I5" t="s">
        <v>28</v>
      </c>
      <c r="J5">
        <v>168</v>
      </c>
      <c r="K5" t="s">
        <v>33</v>
      </c>
    </row>
    <row r="6" spans="1:11" x14ac:dyDescent="0.3">
      <c r="A6">
        <v>4</v>
      </c>
      <c r="B6" t="s">
        <v>14</v>
      </c>
      <c r="C6" t="s">
        <v>19</v>
      </c>
      <c r="D6" t="s">
        <v>24</v>
      </c>
      <c r="E6">
        <v>8</v>
      </c>
      <c r="F6">
        <v>5</v>
      </c>
      <c r="G6">
        <v>7</v>
      </c>
      <c r="H6" s="3">
        <f t="shared" si="0"/>
        <v>280</v>
      </c>
      <c r="I6" t="s">
        <v>29</v>
      </c>
      <c r="J6">
        <v>160</v>
      </c>
      <c r="K6" t="s">
        <v>34</v>
      </c>
    </row>
    <row r="7" spans="1:11" x14ac:dyDescent="0.3">
      <c r="A7">
        <v>5</v>
      </c>
      <c r="B7" t="s">
        <v>15</v>
      </c>
      <c r="C7" t="s">
        <v>20</v>
      </c>
      <c r="D7" t="s">
        <v>25</v>
      </c>
      <c r="E7">
        <v>9</v>
      </c>
      <c r="F7">
        <v>4</v>
      </c>
      <c r="G7">
        <v>3</v>
      </c>
      <c r="H7" s="4">
        <f t="shared" si="0"/>
        <v>108</v>
      </c>
      <c r="I7" t="s">
        <v>30</v>
      </c>
      <c r="J7">
        <v>54</v>
      </c>
      <c r="K7" t="s">
        <v>35</v>
      </c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368C8-ED89-4008-8F6D-1532C00B55EC}">
  <dimension ref="A1:G13"/>
  <sheetViews>
    <sheetView tabSelected="1" workbookViewId="0">
      <selection activeCell="A13" sqref="A13:F13"/>
    </sheetView>
  </sheetViews>
  <sheetFormatPr defaultRowHeight="14.4" x14ac:dyDescent="0.3"/>
  <cols>
    <col min="1" max="1" width="2" bestFit="1" customWidth="1"/>
    <col min="2" max="2" width="13.109375" bestFit="1" customWidth="1"/>
    <col min="3" max="3" width="11.5546875" bestFit="1" customWidth="1"/>
    <col min="4" max="4" width="13.33203125" bestFit="1" customWidth="1"/>
  </cols>
  <sheetData>
    <row r="1" spans="1:7" x14ac:dyDescent="0.3">
      <c r="A1">
        <v>1</v>
      </c>
      <c r="B1" t="s">
        <v>37</v>
      </c>
      <c r="C1" t="s">
        <v>38</v>
      </c>
      <c r="D1" t="s">
        <v>39</v>
      </c>
    </row>
    <row r="2" spans="1:7" x14ac:dyDescent="0.3">
      <c r="A2">
        <v>2</v>
      </c>
      <c r="B2" t="s">
        <v>40</v>
      </c>
      <c r="C2" s="7">
        <v>0.7994</v>
      </c>
      <c r="D2" s="7">
        <v>0.87</v>
      </c>
    </row>
    <row r="3" spans="1:7" x14ac:dyDescent="0.3">
      <c r="A3">
        <v>3</v>
      </c>
      <c r="B3" t="s">
        <v>41</v>
      </c>
      <c r="C3" s="7">
        <v>0.2006</v>
      </c>
      <c r="D3" s="7">
        <v>0.13</v>
      </c>
    </row>
    <row r="4" spans="1:7" x14ac:dyDescent="0.3">
      <c r="A4">
        <v>4</v>
      </c>
      <c r="B4" t="s">
        <v>42</v>
      </c>
      <c r="C4" s="8">
        <v>200600</v>
      </c>
      <c r="D4" s="8">
        <v>130000</v>
      </c>
    </row>
    <row r="5" spans="1:7" x14ac:dyDescent="0.3">
      <c r="A5">
        <v>5</v>
      </c>
      <c r="B5" t="s">
        <v>43</v>
      </c>
      <c r="C5" t="s">
        <v>44</v>
      </c>
      <c r="D5" t="s">
        <v>45</v>
      </c>
    </row>
    <row r="6" spans="1:7" x14ac:dyDescent="0.3">
      <c r="A6">
        <v>6</v>
      </c>
      <c r="B6" t="s">
        <v>46</v>
      </c>
      <c r="C6">
        <v>4.3999999999999997E-2</v>
      </c>
      <c r="D6">
        <v>5.8000000000000003E-2</v>
      </c>
    </row>
    <row r="7" spans="1:7" x14ac:dyDescent="0.3">
      <c r="A7">
        <v>7</v>
      </c>
      <c r="B7" t="s">
        <v>47</v>
      </c>
      <c r="C7" s="8">
        <v>1269</v>
      </c>
      <c r="D7">
        <v>753</v>
      </c>
    </row>
    <row r="8" spans="1:7" x14ac:dyDescent="0.3">
      <c r="A8">
        <v>8</v>
      </c>
      <c r="B8" t="s">
        <v>48</v>
      </c>
      <c r="C8" t="s">
        <v>49</v>
      </c>
      <c r="D8" s="7">
        <v>0.40699999999999997</v>
      </c>
    </row>
    <row r="9" spans="1:7" x14ac:dyDescent="0.3">
      <c r="A9" s="9" t="s">
        <v>50</v>
      </c>
      <c r="B9" s="9"/>
      <c r="C9" s="9"/>
      <c r="D9" s="9"/>
      <c r="E9" s="9"/>
      <c r="F9" s="9"/>
    </row>
    <row r="11" spans="1:7" x14ac:dyDescent="0.3">
      <c r="A11" s="9" t="s">
        <v>51</v>
      </c>
      <c r="B11" s="9"/>
      <c r="C11" s="9"/>
      <c r="D11" s="9"/>
      <c r="E11" s="9"/>
      <c r="F11" s="9"/>
      <c r="G11" s="9"/>
    </row>
    <row r="12" spans="1:7" x14ac:dyDescent="0.3">
      <c r="A12" s="9" t="s">
        <v>52</v>
      </c>
      <c r="B12" s="9"/>
      <c r="C12" s="9"/>
      <c r="D12" s="9"/>
      <c r="E12" s="9"/>
    </row>
    <row r="13" spans="1:7" x14ac:dyDescent="0.3">
      <c r="A13" s="9" t="s">
        <v>53</v>
      </c>
      <c r="B13" s="9"/>
      <c r="C13" s="9"/>
      <c r="D13" s="9"/>
      <c r="E13" s="9"/>
      <c r="F13" s="9"/>
    </row>
  </sheetData>
  <mergeCells count="4">
    <mergeCell ref="A9:F9"/>
    <mergeCell ref="A11:G11"/>
    <mergeCell ref="A12:E12"/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FMEA</vt:lpstr>
      <vt:lpstr>Improve_Summary1	Metric	Current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Hamim, Sabab Abrar</dc:creator>
  <cp:lastModifiedBy>Hamim, Sabab Abrar</cp:lastModifiedBy>
  <dcterms:created xsi:type="dcterms:W3CDTF">2026-07-26T22:09:13Z</dcterms:created>
  <dcterms:modified xsi:type="dcterms:W3CDTF">2026-07-26T22:41:46Z</dcterms:modified>
</cp:coreProperties>
</file>